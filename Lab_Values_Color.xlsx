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ork\Software Development\"/>
    </mc:Choice>
  </mc:AlternateContent>
  <xr:revisionPtr revIDLastSave="0" documentId="8_{E59FC8B0-750B-4AEB-9BD6-2A8050C1C65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b Values" sheetId="1" r:id="rId1"/>
    <sheet name="VBA_Instructions" sheetId="2" r:id="rId2"/>
  </sheets>
  <calcPr calcId="191029"/>
</workbook>
</file>

<file path=xl/calcChain.xml><?xml version="1.0" encoding="utf-8"?>
<calcChain xmlns="http://schemas.openxmlformats.org/spreadsheetml/2006/main">
  <c r="I31" i="1" l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<sst xmlns="http://schemas.openxmlformats.org/spreadsheetml/2006/main" count="101" uniqueCount="94">
  <si>
    <t>Pigment Name</t>
  </si>
  <si>
    <t>Full Tone (LAB)</t>
  </si>
  <si>
    <t>Tint Tone (LAB)</t>
  </si>
  <si>
    <t>Full Tone
Color</t>
  </si>
  <si>
    <t>Tint Tone
Color</t>
  </si>
  <si>
    <t>L</t>
  </si>
  <si>
    <t>A</t>
  </si>
  <si>
    <t>B</t>
  </si>
  <si>
    <t>YELLOW 3033K</t>
  </si>
  <si>
    <t>YELLOW 3031K</t>
  </si>
  <si>
    <t>YELLOW 114</t>
  </si>
  <si>
    <t>YELLOW 2908</t>
  </si>
  <si>
    <t>YELLOW 2909</t>
  </si>
  <si>
    <t>YELLOW 165</t>
  </si>
  <si>
    <t>YELLOW 129</t>
  </si>
  <si>
    <t>YELLOW 2939 K</t>
  </si>
  <si>
    <t>YELLOW 2925K</t>
  </si>
  <si>
    <t>YELLOW 2927</t>
  </si>
  <si>
    <t>ORANGE 2917</t>
  </si>
  <si>
    <t>RED 5016</t>
  </si>
  <si>
    <t>RED 507K</t>
  </si>
  <si>
    <t>RED 570</t>
  </si>
  <si>
    <t>RED2963K</t>
  </si>
  <si>
    <t>RED 2967K</t>
  </si>
  <si>
    <t>RED 554</t>
  </si>
  <si>
    <t>RED 564</t>
  </si>
  <si>
    <t>RED 2985</t>
  </si>
  <si>
    <t>RED 635</t>
  </si>
  <si>
    <t>RED 2991K</t>
  </si>
  <si>
    <t>VOILET 2946K</t>
  </si>
  <si>
    <t>BLUE 2749</t>
  </si>
  <si>
    <t>BLUE 2764</t>
  </si>
  <si>
    <t>BLUE 2778K</t>
  </si>
  <si>
    <t>BLUE 2789</t>
  </si>
  <si>
    <t>GREEN 2730K</t>
  </si>
  <si>
    <t>ORANGE 212</t>
  </si>
  <si>
    <t>VOILET 2945K</t>
  </si>
  <si>
    <t>HOW TO ENABLE DYNAMIC COLOR FILL (Auto-updates when you change LAB values)</t>
  </si>
  <si>
    <t>The 'Lab Values' sheet already shows HEX codes in columns H &amp; I calculated live from LAB values.</t>
  </si>
  <si>
    <t>To make the CELL BACKGROUND also update dynamically when you change any LAB value, follow these steps:</t>
  </si>
  <si>
    <t>STEP 1:  Save this file as .xlsm (macro-enabled): File → Save As → choose 'Excel Macro-Enabled Workbook (*.xlsm)'</t>
  </si>
  <si>
    <t>STEP 2:  Open the VBA Editor: Press Alt + F11</t>
  </si>
  <si>
    <t>STEP 3:  In the Project pane (left), right-click 'VBAProject' → Insert → Module</t>
  </si>
  <si>
    <t>STEP 4:  Paste the following code into the new module:</t>
  </si>
  <si>
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</si>
  <si>
    <t>Function LabToHex(L As Double, A As Double, B As Double) As String</t>
  </si>
  <si>
    <t xml:space="preserve">    Dim fy As Double, fx As Double, fz As Double</t>
  </si>
  <si>
    <t xml:space="preserve">    Dim X As Double, Y As Double, Z As Double</t>
  </si>
  <si>
    <t xml:space="preserve">    Dim r As Double, g As Double, b2 As Double</t>
  </si>
  <si>
    <t xml:space="preserve">    Dim ri As Long, gi As Long, bi As Long</t>
  </si>
  <si>
    <t xml:space="preserve">    fy = (L + 16) / 116 : fx = A / 500 + fy : fz = fy - B / 200</t>
  </si>
  <si>
    <t xml:space="preserve">    If fx ^ 3 &gt; 0.008856 Then : X = fx ^ 3 : Else : X = (fx - 16 / 116) / 7.787 : End If</t>
  </si>
  <si>
    <t xml:space="preserve">    If fy ^ 3 &gt; 0.008856 Then : Y = fy ^ 3 : Else : Y = (fy - 16 / 116) / 7.787 : End If</t>
  </si>
  <si>
    <t xml:space="preserve">    If fz ^ 3 &gt; 0.008856 Then : Z = fz ^ 3 : Else : Z = (fz - 16 / 116) / 7.787 : End If</t>
  </si>
  <si>
    <t xml:space="preserve">    X = X * 0.95047 : Y = Y * 1.0 : Z = Z * 1.08883</t>
  </si>
  <si>
    <t xml:space="preserve">    r = 3.2406*X - 1.5372*Y - 0.4986*Z</t>
  </si>
  <si>
    <t xml:space="preserve">    g = -0.9689*X + 1.8758*Y + 0.0415*Z</t>
  </si>
  <si>
    <t xml:space="preserve">    b2 = 0.0557*X - 0.2040*Y + 1.0570*Z</t>
  </si>
  <si>
    <t xml:space="preserve">    If r &lt;= 0.0031308 Then r = 12.92*r Else r = 1.055*r^(1/2.4)-0.055</t>
  </si>
  <si>
    <t xml:space="preserve">    If g &lt;= 0.0031308 Then g = 12.92*g Else g = 1.055*g^(1/2.4)-0.055</t>
  </si>
  <si>
    <t xml:space="preserve">    If b2 &lt;= 0.0031308 Then b2 = 12.92*b2 Else b2 = 1.055*b2^(1/2.4)-0.055</t>
  </si>
  <si>
    <t xml:space="preserve">    If r &lt; 0 Then r = 0 : ElseIf r &gt; 1 Then r = 1 : End If</t>
  </si>
  <si>
    <t xml:space="preserve">    If g &lt; 0 Then g = 0 : ElseIf g &gt; 1 Then g = 1 : End If</t>
  </si>
  <si>
    <t xml:space="preserve">    If b2 &lt; 0 Then b2 = 0 : ElseIf b2 &gt; 1 Then b2 = 1 : End If</t>
  </si>
  <si>
    <t xml:space="preserve">    ri = CLng(r * 255) : gi = CLng(g * 255) : bi = CLng(b2 * 255)</t>
  </si>
  <si>
    <t xml:space="preserve">    LabToHex = Right("00" &amp; Hex(ri), 2) &amp; Right("00" &amp; Hex(gi), 2) &amp; Right("00" &amp; Hex(bi), 2)</t>
  </si>
  <si>
    <t>End Function</t>
  </si>
  <si>
    <t>Sub UpdateAllColors()</t>
  </si>
  <si>
    <t xml:space="preserve">    Dim ws As Worksheet : Dim lastRow As Long, r As Long</t>
  </si>
  <si>
    <t xml:space="preserve">    Dim hx As String : Dim lv As Double, av As Double, bv As Double</t>
  </si>
  <si>
    <t xml:space="preserve">    Set ws = ThisWorkbook.Sheets("Lab Values")</t>
  </si>
  <si>
    <t xml:space="preserve">    lastRow = ws.Cells(ws.Rows.Count, 1).End(xlUp).Row</t>
  </si>
  <si>
    <t xml:space="preserve">    Application.ScreenUpdating = False</t>
  </si>
  <si>
    <t xml:space="preserve">    For r = 3 To lastRow</t>
  </si>
  <si>
    <t xml:space="preserve">        If IsNumeric(ws.Cells(r,2)) And IsNumeric(ws.Cells(r,3)) And IsNumeric(ws.Cells(r,4)) Then</t>
  </si>
  <si>
    <t xml:space="preserve">            hx = LabToHex(ws.Cells(r,2).Value, ws.Cells(r,3).Value, ws.Cells(r,4).Value)</t>
  </si>
  <si>
    <t xml:space="preserve">            ws.Cells(r,8).Interior.Color = RGB(CLng("&amp;H"&amp;Left(hx,2)),CLng("&amp;H"&amp;Mid(hx,3,2)),CLng("&amp;H"&amp;Right(hx,2)))</t>
  </si>
  <si>
    <t xml:space="preserve">        End If</t>
  </si>
  <si>
    <t xml:space="preserve">        If IsNumeric(ws.Cells(r,5)) And IsNumeric(ws.Cells(r,6)) And IsNumeric(ws.Cells(r,7)) Then</t>
  </si>
  <si>
    <t xml:space="preserve">            hx = LabToHex(ws.Cells(r,5).Value, ws.Cells(r,6).Value, ws.Cells(r,7).Value)</t>
  </si>
  <si>
    <t xml:space="preserve">            ws.Cells(r,9).Interior.Color = RGB(CLng("&amp;H"&amp;Left(hx,2)),CLng("&amp;H"&amp;Mid(hx,3,2)),CLng("&amp;H"&amp;Right(hx,2)))</t>
  </si>
  <si>
    <t xml:space="preserve">    Next r</t>
  </si>
  <si>
    <t xml:space="preserve">    Application.ScreenUpdating = True</t>
  </si>
  <si>
    <t>End Sub</t>
  </si>
  <si>
    <t>STEP 5:  In the Project pane, double-click 'Sheet1 (Lab Values)'  and paste this:</t>
  </si>
  <si>
    <t>Private Sub Worksheet_Change(ByVal Target As Range)</t>
  </si>
  <si>
    <t xml:space="preserve">    If Not Intersect(Target, Me.Range("B3:G1000")) Is Nothing Then</t>
  </si>
  <si>
    <t xml:space="preserve">        Call UpdateAllColors</t>
  </si>
  <si>
    <t xml:space="preserve">    End If</t>
  </si>
  <si>
    <t>STEP 6:  Close VBA Editor (Alt+F4) and press Ctrl+S to save.</t>
  </si>
  <si>
    <t>After this, every time you change any L, A, or B value in columns B-G,</t>
  </si>
  <si>
    <t>the color swatches in columns H and I will automatically update their background color.</t>
  </si>
  <si>
    <t>NOTE: The HEX code formula in columns H &amp; I is already live and recalculates automatically.</t>
  </si>
  <si>
    <t xml:space="preserve">      Only the cell background fill requires the VBA macro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</si>
</sst>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sz val="8"/>
      <color rgb="FF444444"/>
      <name val="Arial"/>
    </font>
    <font>
      <b/>
      <sz val="12"/>
      <color rgb="FFFFFFFF"/>
      <name val="Arial"/>
    </font>
    <font>
      <sz val="10"/>
      <color rgb="FF222222"/>
      <name val="Arial"/>
    </font>
    <font>
      <b/>
      <sz val="10"/>
      <color rgb="FF1E3A5F"/>
      <name val="Courier New"/>
    </font>
    <font>
      <sz val="9"/>
      <color rgb="FFAAAAAA"/>
      <name val="Courier New"/>
    </font>
    <font>
      <b/>
      <sz val="9"/>
      <color rgb="FF0000AA"/>
      <name val="Courier New"/>
    </font>
    <font>
      <sz val="9"/>
      <color rgb="FF333333"/>
      <name val="Courier New"/>
    </font>
  </fonts>
  <fills count="67">
    <fill>
      <patternFill patternType="none"/>
    </fill>
    <fill>
      <patternFill patternType="gray125"/>
    </fill>
    <fill>
      <patternFill patternType="solid">
        <fgColor rgb="FF2F4F8F"/>
      </patternFill>
    </fill>
    <fill>
      <patternFill patternType="solid">
        <fgColor rgb="FF1F7A4D"/>
      </patternFill>
    </fill>
    <fill>
      <patternFill patternType="solid">
        <fgColor rgb="FF8B4513"/>
      </patternFill>
    </fill>
    <fill>
      <patternFill patternType="solid">
        <fgColor rgb="FF145235"/>
      </patternFill>
    </fill>
    <fill>
      <patternFill patternType="solid">
        <fgColor rgb="FF5C2D0A"/>
      </patternFill>
    </fill>
    <fill>
      <patternFill patternType="solid">
        <fgColor rgb="FFEDF2FF"/>
      </patternFill>
    </fill>
    <fill>
      <patternFill patternType="solid">
        <fgColor rgb="FFD8D02F"/>
      </patternFill>
    </fill>
    <fill>
      <patternFill patternType="solid">
        <fgColor rgb="FFFFFF80"/>
      </patternFill>
    </fill>
    <fill>
      <patternFill patternType="solid">
        <fgColor rgb="FFFFF5EE"/>
      </patternFill>
    </fill>
    <fill>
      <patternFill patternType="solid">
        <fgColor rgb="FFDBCF33"/>
      </patternFill>
    </fill>
    <fill>
      <patternFill patternType="solid">
        <fgColor rgb="FFFFFF7C"/>
      </patternFill>
    </fill>
    <fill>
      <patternFill patternType="solid">
        <fgColor rgb="FFDCB338"/>
      </patternFill>
    </fill>
    <fill>
      <patternFill patternType="solid">
        <fgColor rgb="FFFFFFA4"/>
      </patternFill>
    </fill>
    <fill>
      <patternFill patternType="solid">
        <fgColor rgb="FFE5BC31"/>
      </patternFill>
    </fill>
    <fill>
      <patternFill patternType="solid">
        <fgColor rgb="FFFFFF81"/>
      </patternFill>
    </fill>
    <fill>
      <patternFill patternType="solid">
        <fgColor rgb="FFE7BE32"/>
      </patternFill>
    </fill>
    <fill>
      <patternFill patternType="solid">
        <fgColor rgb="FFFAD226"/>
      </patternFill>
    </fill>
    <fill>
      <patternFill patternType="solid">
        <fgColor rgb="FFFFFF70"/>
      </patternFill>
    </fill>
    <fill>
      <patternFill patternType="solid">
        <fgColor rgb="FFF3B533"/>
      </patternFill>
    </fill>
    <fill>
      <patternFill patternType="solid">
        <fgColor rgb="FFFFFFA0"/>
      </patternFill>
    </fill>
    <fill>
      <patternFill patternType="solid">
        <fgColor rgb="FFEC992E"/>
      </patternFill>
    </fill>
    <fill>
      <patternFill patternType="solid">
        <fgColor rgb="FFFFE472"/>
      </patternFill>
    </fill>
    <fill>
      <patternFill patternType="solid">
        <fgColor rgb="FFE9973D"/>
      </patternFill>
    </fill>
    <fill>
      <patternFill patternType="solid">
        <fgColor rgb="FFFF00FF"/>
      </patternFill>
    </fill>
    <fill>
      <patternFill patternType="solid">
        <fgColor rgb="FFE69638"/>
      </patternFill>
    </fill>
    <fill>
      <patternFill patternType="solid">
        <fgColor rgb="FFFFF49B"/>
      </patternFill>
    </fill>
    <fill>
      <patternFill patternType="solid">
        <fgColor rgb="FFFF7447"/>
      </patternFill>
    </fill>
    <fill>
      <patternFill patternType="solid">
        <fgColor rgb="FFFFAE86"/>
      </patternFill>
    </fill>
    <fill>
      <patternFill patternType="solid">
        <fgColor rgb="FFC85549"/>
      </patternFill>
    </fill>
    <fill>
      <patternFill patternType="solid">
        <fgColor rgb="FFFF92A0"/>
      </patternFill>
    </fill>
    <fill>
      <patternFill patternType="solid">
        <fgColor rgb="FFCD5347"/>
      </patternFill>
    </fill>
    <fill>
      <patternFill patternType="solid">
        <fgColor rgb="FFFF8F9C"/>
      </patternFill>
    </fill>
    <fill>
      <patternFill patternType="solid">
        <fgColor rgb="FFCE5348"/>
      </patternFill>
    </fill>
    <fill>
      <patternFill patternType="solid">
        <fgColor rgb="FFFF83A7"/>
      </patternFill>
    </fill>
    <fill>
      <patternFill patternType="solid">
        <fgColor rgb="FFD64844"/>
      </patternFill>
    </fill>
    <fill>
      <patternFill patternType="solid">
        <fgColor rgb="FFFF8D5D"/>
      </patternFill>
    </fill>
    <fill>
      <patternFill patternType="solid">
        <fgColor rgb="FFC14543"/>
      </patternFill>
    </fill>
    <fill>
      <patternFill patternType="solid">
        <fgColor rgb="FFFF8CA9"/>
      </patternFill>
    </fill>
    <fill>
      <patternFill patternType="solid">
        <fgColor rgb="FFAC4B46"/>
      </patternFill>
    </fill>
    <fill>
      <patternFill patternType="solid">
        <fgColor rgb="FFFF7FA9"/>
      </patternFill>
    </fill>
    <fill>
      <patternFill patternType="solid">
        <fgColor rgb="FFA24945"/>
      </patternFill>
    </fill>
    <fill>
      <patternFill patternType="solid">
        <fgColor rgb="FFFF82AF"/>
      </patternFill>
    </fill>
    <fill>
      <patternFill patternType="solid">
        <fgColor rgb="FFB3504E"/>
      </patternFill>
    </fill>
    <fill>
      <patternFill patternType="solid">
        <fgColor rgb="FFFF99CE"/>
      </patternFill>
    </fill>
    <fill>
      <patternFill patternType="solid">
        <fgColor rgb="FFA14845"/>
      </patternFill>
    </fill>
    <fill>
      <patternFill patternType="solid">
        <fgColor rgb="FFF87FB3"/>
      </patternFill>
    </fill>
    <fill>
      <patternFill patternType="solid">
        <fgColor rgb="FF914853"/>
      </patternFill>
    </fill>
    <fill>
      <patternFill patternType="solid">
        <fgColor rgb="FFF39CDD"/>
      </patternFill>
    </fill>
    <fill>
      <patternFill patternType="solid">
        <fgColor rgb="FF514E4C"/>
      </patternFill>
    </fill>
    <fill>
      <patternFill patternType="solid">
        <fgColor rgb="FF827ACE"/>
      </patternFill>
    </fill>
    <fill>
      <patternFill patternType="solid">
        <fgColor rgb="FF434D74"/>
      </patternFill>
    </fill>
    <fill>
      <patternFill patternType="solid">
        <fgColor rgb="FF1FBCFF"/>
      </patternFill>
    </fill>
    <fill>
      <patternFill patternType="solid">
        <fgColor rgb="FF444D74"/>
      </patternFill>
    </fill>
    <fill>
      <patternFill patternType="solid">
        <fgColor rgb="FF415383"/>
      </patternFill>
    </fill>
    <fill>
      <patternFill patternType="solid">
        <fgColor rgb="FF00C4FF"/>
      </patternFill>
    </fill>
    <fill>
      <patternFill patternType="solid">
        <fgColor rgb="FF444F7F"/>
      </patternFill>
    </fill>
    <fill>
      <patternFill patternType="solid">
        <fgColor rgb="FF00C3FF"/>
      </patternFill>
    </fill>
    <fill>
      <patternFill patternType="solid">
        <fgColor rgb="FF047055"/>
      </patternFill>
    </fill>
    <fill>
      <patternFill patternType="solid">
        <fgColor rgb="FF62E5CF"/>
      </patternFill>
    </fill>
    <fill>
      <patternFill patternType="solid">
        <fgColor rgb="FFE26645"/>
      </patternFill>
    </fill>
    <fill>
      <patternFill patternType="solid">
        <fgColor rgb="FFFFA976"/>
      </patternFill>
    </fill>
    <fill>
      <patternFill patternType="solid">
        <fgColor rgb="FF524F4B"/>
      </patternFill>
    </fill>
    <fill>
      <patternFill patternType="solid">
        <fgColor rgb="FF7F78C5"/>
      </patternFill>
    </fill>
    <fill>
      <patternFill patternType="solid">
        <fgColor rgb="FF1E3A5F"/>
      </patternFill>
    </fill>
    <fill>
      <patternFill patternType="solid">
        <fgColor rgb="FFE8F0F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2" fontId="3" fillId="7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/>
    </xf>
    <xf numFmtId="2" fontId="3" fillId="10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center" vertical="center"/>
    </xf>
    <xf numFmtId="0" fontId="4" fillId="26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center" vertical="center"/>
    </xf>
    <xf numFmtId="0" fontId="4" fillId="39" borderId="1" xfId="0" applyFont="1" applyFill="1" applyBorder="1" applyAlignment="1">
      <alignment horizontal="center" vertical="center"/>
    </xf>
    <xf numFmtId="0" fontId="4" fillId="40" borderId="1" xfId="0" applyFont="1" applyFill="1" applyBorder="1" applyAlignment="1">
      <alignment horizontal="center" vertical="center"/>
    </xf>
    <xf numFmtId="0" fontId="4" fillId="41" borderId="1" xfId="0" applyFont="1" applyFill="1" applyBorder="1" applyAlignment="1">
      <alignment horizontal="center" vertical="center"/>
    </xf>
    <xf numFmtId="0" fontId="4" fillId="42" borderId="1" xfId="0" applyFont="1" applyFill="1" applyBorder="1" applyAlignment="1">
      <alignment horizontal="center" vertical="center"/>
    </xf>
    <xf numFmtId="0" fontId="4" fillId="43" borderId="1" xfId="0" applyFont="1" applyFill="1" applyBorder="1" applyAlignment="1">
      <alignment horizontal="center" vertical="center"/>
    </xf>
    <xf numFmtId="0" fontId="4" fillId="44" borderId="1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6" borderId="1" xfId="0" applyFont="1" applyFill="1" applyBorder="1" applyAlignment="1">
      <alignment horizontal="center" vertical="center"/>
    </xf>
    <xf numFmtId="0" fontId="4" fillId="47" borderId="1" xfId="0" applyFont="1" applyFill="1" applyBorder="1" applyAlignment="1">
      <alignment horizontal="center" vertical="center"/>
    </xf>
    <xf numFmtId="0" fontId="4" fillId="48" borderId="1" xfId="0" applyFont="1" applyFill="1" applyBorder="1" applyAlignment="1">
      <alignment horizontal="center" vertical="center"/>
    </xf>
    <xf numFmtId="0" fontId="4" fillId="49" borderId="1" xfId="0" applyFont="1" applyFill="1" applyBorder="1" applyAlignment="1">
      <alignment horizontal="center" vertical="center"/>
    </xf>
    <xf numFmtId="0" fontId="4" fillId="50" borderId="1" xfId="0" applyFont="1" applyFill="1" applyBorder="1" applyAlignment="1">
      <alignment horizontal="center" vertical="center"/>
    </xf>
    <xf numFmtId="0" fontId="4" fillId="51" borderId="1" xfId="0" applyFont="1" applyFill="1" applyBorder="1" applyAlignment="1">
      <alignment horizontal="center" vertical="center"/>
    </xf>
    <xf numFmtId="0" fontId="4" fillId="52" borderId="1" xfId="0" applyFont="1" applyFill="1" applyBorder="1" applyAlignment="1">
      <alignment horizontal="center" vertical="center"/>
    </xf>
    <xf numFmtId="0" fontId="4" fillId="53" borderId="1" xfId="0" applyFont="1" applyFill="1" applyBorder="1" applyAlignment="1">
      <alignment horizontal="center" vertical="center"/>
    </xf>
    <xf numFmtId="0" fontId="4" fillId="54" borderId="1" xfId="0" applyFont="1" applyFill="1" applyBorder="1" applyAlignment="1">
      <alignment horizontal="center" vertical="center"/>
    </xf>
    <xf numFmtId="0" fontId="4" fillId="55" borderId="1" xfId="0" applyFont="1" applyFill="1" applyBorder="1" applyAlignment="1">
      <alignment horizontal="center" vertical="center"/>
    </xf>
    <xf numFmtId="0" fontId="4" fillId="56" borderId="1" xfId="0" applyFont="1" applyFill="1" applyBorder="1" applyAlignment="1">
      <alignment horizontal="center" vertical="center"/>
    </xf>
    <xf numFmtId="0" fontId="4" fillId="57" borderId="1" xfId="0" applyFont="1" applyFill="1" applyBorder="1" applyAlignment="1">
      <alignment horizontal="center" vertical="center"/>
    </xf>
    <xf numFmtId="0" fontId="4" fillId="58" borderId="1" xfId="0" applyFont="1" applyFill="1" applyBorder="1" applyAlignment="1">
      <alignment horizontal="center" vertical="center"/>
    </xf>
    <xf numFmtId="0" fontId="4" fillId="59" borderId="1" xfId="0" applyFont="1" applyFill="1" applyBorder="1" applyAlignment="1">
      <alignment horizontal="center" vertical="center"/>
    </xf>
    <xf numFmtId="0" fontId="4" fillId="60" borderId="1" xfId="0" applyFont="1" applyFill="1" applyBorder="1" applyAlignment="1">
      <alignment horizontal="center" vertical="center"/>
    </xf>
    <xf numFmtId="0" fontId="4" fillId="61" borderId="1" xfId="0" applyFont="1" applyFill="1" applyBorder="1" applyAlignment="1">
      <alignment horizontal="center" vertical="center"/>
    </xf>
    <xf numFmtId="0" fontId="4" fillId="62" borderId="1" xfId="0" applyFont="1" applyFill="1" applyBorder="1" applyAlignment="1">
      <alignment horizontal="center" vertical="center"/>
    </xf>
    <xf numFmtId="0" fontId="4" fillId="63" borderId="1" xfId="0" applyFont="1" applyFill="1" applyBorder="1" applyAlignment="1">
      <alignment horizontal="center" vertical="center"/>
    </xf>
    <xf numFmtId="0" fontId="4" fillId="64" borderId="1" xfId="0" applyFont="1" applyFill="1" applyBorder="1" applyAlignment="1">
      <alignment horizontal="center" vertical="center"/>
    </xf>
    <xf numFmtId="0" fontId="5" fillId="65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66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" fillId="6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H3" sqref="H3"/>
    </sheetView>
  </sheetViews>
  <sheetFormatPr defaultRowHeight="14.5" x14ac:dyDescent="0.35"/>
  <cols>
    <col min="1" max="1" width="22" customWidth="1"/>
    <col min="2" max="7" width="11" customWidth="1"/>
    <col min="8" max="9" width="13" customWidth="1"/>
  </cols>
  <sheetData>
    <row r="1" spans="1:9" ht="30" customHeight="1" x14ac:dyDescent="0.35">
      <c r="A1" s="74" t="s">
        <v>0</v>
      </c>
      <c r="B1" s="71" t="s">
        <v>1</v>
      </c>
      <c r="C1" s="70"/>
      <c r="D1" s="70"/>
      <c r="E1" s="73" t="s">
        <v>2</v>
      </c>
      <c r="F1" s="70"/>
      <c r="G1" s="70"/>
      <c r="H1" s="72" t="s">
        <v>3</v>
      </c>
      <c r="I1" s="69" t="s">
        <v>4</v>
      </c>
    </row>
    <row r="2" spans="1:9" ht="18" customHeight="1" x14ac:dyDescent="0.35">
      <c r="A2" s="70"/>
      <c r="B2" s="1" t="s">
        <v>5</v>
      </c>
      <c r="C2" s="1" t="s">
        <v>6</v>
      </c>
      <c r="D2" s="1" t="s">
        <v>7</v>
      </c>
      <c r="E2" s="2" t="s">
        <v>5</v>
      </c>
      <c r="F2" s="2" t="s">
        <v>6</v>
      </c>
      <c r="G2" s="2" t="s">
        <v>7</v>
      </c>
      <c r="H2" s="70"/>
      <c r="I2" s="70"/>
    </row>
    <row r="3" spans="1:9" ht="26" customHeight="1" x14ac:dyDescent="0.35">
      <c r="A3" s="3" t="s">
        <v>8</v>
      </c>
      <c r="B3" s="4">
        <v>81.87</v>
      </c>
      <c r="C3" s="4">
        <v>-14.53</v>
      </c>
      <c r="D3" s="4">
        <v>73.959999999999994</v>
      </c>
      <c r="E3" s="4">
        <v>105.28</v>
      </c>
      <c r="F3" s="4">
        <v>-13.14</v>
      </c>
      <c r="G3" s="4">
        <v>69.33</v>
      </c>
      <c r="H3" s="5" t="str">
        <f t="shared" ref="H3:H31" si="0">"#"&amp;TEXT(DEC2HEX(INT((IF((3.2406*(IF((C3/500+((B3+16)/116))^3&gt;0.008856,(C3/500+((B3+16)/116))^3,((C3/500+((B3+16)/116))-16/116)/7.787)*0.95047)-1.5372*(IF(((B3+16)/116)^3&gt;0.008856,((B3+16)/116)^3,(((B3+16)/116)-16/116)/7.787)*1)-0.4986*(IF((((B3+16)/116)-D3/200)^3&gt;0.008856,(((B3+16)/116)-D3/200)^3,((((B3+16)/116)-D3/200)-16/116)/7.787)*1.08883))&lt;=0.0031308,12.92*MAX(0,MIN(1,(3.2406*(IF((C3/500+((B3+16)/116))^3&gt;0.008856,(C3/500+((B3+16)/116))^3,((C3/500+((B3+16)/116))-16/116)/7.787)*0.95047)-1.5372*(IF(((B3+16)/116)^3&gt;0.008856,((B3+16)/116)^3,(((B3+16)/116)-16/116)/7.787)*1)-0.4986*(IF((((B3+16)/116)-D3/200)^3&gt;0.008856,(((B3+16)/116)-D3/200)^3,((((B3+16)/116)-D3/200)-16/116)/7.787)*1.08883)))),1.055*MAX(0,MIN(1,(3.2406*(IF((C3/500+((B3+16)/116))^3&gt;0.008856,(C3/500+((B3+16)/116))^3,((C3/500+((B3+16)/116))-16/116)/7.787)*0.95047)-1.5372*(IF(((B3+16)/116)^3&gt;0.008856,((B3+16)/116)^3,(((B3+16)/116)-16/116)/7.787)*1)-0.4986*(IF((((B3+16)/116)-D3/200)^3&gt;0.008856,(((B3+16)/116)-D3/200)^3,((((B3+16)/116)-D3/200)-16/116)/7.787)*1.08883))))^(1/2.4)-0.055))*255+0.5)),"00")&amp;TEXT(DEC2HEX(INT((IF((-0.9689*(IF((C3/500+((B3+16)/116))^3&gt;0.008856,(C3/500+((B3+16)/116))^3,((C3/500+((B3+16)/116))-16/116)/7.787)*0.95047)+1.8758*(IF(((B3+16)/116)^3&gt;0.008856,((B3+16)/116)^3,(((B3+16)/116)-16/116)/7.787)*1)+0.0415*(IF((((B3+16)/116)-D3/200)^3&gt;0.008856,(((B3+16)/116)-D3/200)^3,((((B3+16)/116)-D3/200)-16/116)/7.787)*1.08883))&lt;=0.0031308,12.92*MAX(0,MIN(1,(-0.9689*(IF((C3/500+((B3+16)/116))^3&gt;0.008856,(C3/500+((B3+16)/116))^3,((C3/500+((B3+16)/116))-16/116)/7.787)*0.95047)+1.8758*(IF(((B3+16)/116)^3&gt;0.008856,((B3+16)/116)^3,(((B3+16)/116)-16/116)/7.787)*1)+0.0415*(IF((((B3+16)/116)-D3/200)^3&gt;0.008856,(((B3+16)/116)-D3/200)^3,((((B3+16)/116)-D3/200)-16/116)/7.787)*1.08883)))),1.055*MAX(0,MIN(1,(-0.9689*(IF((C3/500+((B3+16)/116))^3&gt;0.008856,(C3/500+((B3+16)/116))^3,((C3/500+((B3+16)/116))-16/116)/7.787)*0.95047)+1.8758*(IF(((B3+16)/116)^3&gt;0.008856,((B3+16)/116)^3,(((B3+16)/116)-16/116)/7.787)*1)+0.0415*(IF((((B3+16)/116)-D3/200)^3&gt;0.008856,(((B3+16)/116)-D3/200)^3,((((B3+16)/116)-D3/200)-16/116)/7.787)*1.08883))))^(1/2.4)-0.055))*255+0.5)),"00")&amp;TEXT(DEC2HEX(INT((IF((0.0557*(IF((C3/500+((B3+16)/116))^3&gt;0.008856,(C3/500+((B3+16)/116))^3,((C3/500+((B3+16)/116))-16/116)/7.787)*0.95047)-0.204*(IF(((B3+16)/116)^3&gt;0.008856,((B3+16)/116)^3,(((B3+16)/116)-16/116)/7.787)*1)+1.057*(IF((((B3+16)/116)-D3/200)^3&gt;0.008856,(((B3+16)/116)-D3/200)^3,((((B3+16)/116)-D3/200)-16/116)/7.787)*1.08883))&lt;=0.0031308,12.92*MAX(0,MIN(1,(0.0557*(IF((C3/500+((B3+16)/116))^3&gt;0.008856,(C3/500+((B3+16)/116))^3,((C3/500+((B3+16)/116))-16/116)/7.787)*0.95047)-0.204*(IF(((B3+16)/116)^3&gt;0.008856,((B3+16)/116)^3,(((B3+16)/116)-16/116)/7.787)*1)+1.057*(IF((((B3+16)/116)-D3/200)^3&gt;0.008856,(((B3+16)/116)-D3/200)^3,((((B3+16)/116)-D3/200)-16/116)/7.787)*1.08883)))),1.055*MAX(0,MIN(1,(0.0557*(IF((C3/500+((B3+16)/116))^3&gt;0.008856,(C3/500+((B3+16)/116))^3,((C3/500+((B3+16)/116))-16/116)/7.787)*0.95047)-0.204*(IF(((B3+16)/116)^3&gt;0.008856,((B3+16)/116)^3,(((B3+16)/116)-16/116)/7.787)*1)+1.057*(IF((((B3+16)/116)-D3/200)^3&gt;0.008856,(((B3+16)/116)-D3/200)^3,((((B3+16)/116)-D3/200)-16/116)/7.787)*1.08883))))^(1/2.4)-0.055))*255+0.5)),"00")</f>
        <v>#D8D02F</v>
      </c>
      <c r="I3" s="6" t="str">
        <f t="shared" ref="I3:I31" si="1">"#"&amp;TEXT(DEC2HEX(INT((IF((3.2406*(IF((F3/500+((E3+16)/116))^3&gt;0.008856,(F3/500+((E3+16)/116))^3,((F3/500+((E3+16)/116))-16/116)/7.787)*0.95047)-1.5372*(IF(((E3+16)/116)^3&gt;0.008856,((E3+16)/116)^3,(((E3+16)/116)-16/116)/7.787)*1)-0.4986*(IF((((E3+16)/116)-G3/200)^3&gt;0.008856,(((E3+16)/116)-G3/200)^3,((((E3+16)/116)-G3/200)-16/116)/7.787)*1.08883))&lt;=0.0031308,12.92*MAX(0,MIN(1,(3.2406*(IF((F3/500+((E3+16)/116))^3&gt;0.008856,(F3/500+((E3+16)/116))^3,((F3/500+((E3+16)/116))-16/116)/7.787)*0.95047)-1.5372*(IF(((E3+16)/116)^3&gt;0.008856,((E3+16)/116)^3,(((E3+16)/116)-16/116)/7.787)*1)-0.4986*(IF((((E3+16)/116)-G3/200)^3&gt;0.008856,(((E3+16)/116)-G3/200)^3,((((E3+16)/116)-G3/200)-16/116)/7.787)*1.08883)))),1.055*MAX(0,MIN(1,(3.2406*(IF((F3/500+((E3+16)/116))^3&gt;0.008856,(F3/500+((E3+16)/116))^3,((F3/500+((E3+16)/116))-16/116)/7.787)*0.95047)-1.5372*(IF(((E3+16)/116)^3&gt;0.008856,((E3+16)/116)^3,(((E3+16)/116)-16/116)/7.787)*1)-0.4986*(IF((((E3+16)/116)-G3/200)^3&gt;0.008856,(((E3+16)/116)-G3/200)^3,((((E3+16)/116)-G3/200)-16/116)/7.787)*1.08883))))^(1/2.4)-0.055))*255+0.5)),"00")&amp;TEXT(DEC2HEX(INT((IF((-0.9689*(IF((F3/500+((E3+16)/116))^3&gt;0.008856,(F3/500+((E3+16)/116))^3,((F3/500+((E3+16)/116))-16/116)/7.787)*0.95047)+1.8758*(IF(((E3+16)/116)^3&gt;0.008856,((E3+16)/116)^3,(((E3+16)/116)-16/116)/7.787)*1)+0.0415*(IF((((E3+16)/116)-G3/200)^3&gt;0.008856,(((E3+16)/116)-G3/200)^3,((((E3+16)/116)-G3/200)-16/116)/7.787)*1.08883))&lt;=0.0031308,12.92*MAX(0,MIN(1,(-0.9689*(IF((F3/500+((E3+16)/116))^3&gt;0.008856,(F3/500+((E3+16)/116))^3,((F3/500+((E3+16)/116))-16/116)/7.787)*0.95047)+1.8758*(IF(((E3+16)/116)^3&gt;0.008856,((E3+16)/116)^3,(((E3+16)/116)-16/116)/7.787)*1)+0.0415*(IF((((E3+16)/116)-G3/200)^3&gt;0.008856,(((E3+16)/116)-G3/200)^3,((((E3+16)/116)-G3/200)-16/116)/7.787)*1.08883)))),1.055*MAX(0,MIN(1,(-0.9689*(IF((F3/500+((E3+16)/116))^3&gt;0.008856,(F3/500+((E3+16)/116))^3,((F3/500+((E3+16)/116))-16/116)/7.787)*0.95047)+1.8758*(IF(((E3+16)/116)^3&gt;0.008856,((E3+16)/116)^3,(((E3+16)/116)-16/116)/7.787)*1)+0.0415*(IF((((E3+16)/116)-G3/200)^3&gt;0.008856,(((E3+16)/116)-G3/200)^3,((((E3+16)/116)-G3/200)-16/116)/7.787)*1.08883))))^(1/2.4)-0.055))*255+0.5)),"00")&amp;TEXT(DEC2HEX(INT((IF((0.0557*(IF((F3/500+((E3+16)/116))^3&gt;0.008856,(F3/500+((E3+16)/116))^3,((F3/500+((E3+16)/116))-16/116)/7.787)*0.95047)-0.204*(IF(((E3+16)/116)^3&gt;0.008856,((E3+16)/116)^3,(((E3+16)/116)-16/116)/7.787)*1)+1.057*(IF((((E3+16)/116)-G3/200)^3&gt;0.008856,(((E3+16)/116)-G3/200)^3,((((E3+16)/116)-G3/200)-16/116)/7.787)*1.08883))&lt;=0.0031308,12.92*MAX(0,MIN(1,(0.0557*(IF((F3/500+((E3+16)/116))^3&gt;0.008856,(F3/500+((E3+16)/116))^3,((F3/500+((E3+16)/116))-16/116)/7.787)*0.95047)-0.204*(IF(((E3+16)/116)^3&gt;0.008856,((E3+16)/116)^3,(((E3+16)/116)-16/116)/7.787)*1)+1.057*(IF((((E3+16)/116)-G3/200)^3&gt;0.008856,(((E3+16)/116)-G3/200)^3,((((E3+16)/116)-G3/200)-16/116)/7.787)*1.08883)))),1.055*MAX(0,MIN(1,(0.0557*(IF((F3/500+((E3+16)/116))^3&gt;0.008856,(F3/500+((E3+16)/116))^3,((F3/500+((E3+16)/116))-16/116)/7.787)*0.95047)-0.204*(IF(((E3+16)/116)^3&gt;0.008856,((E3+16)/116)^3,(((E3+16)/116)-16/116)/7.787)*1)+1.057*(IF((((E3+16)/116)-G3/200)^3&gt;0.008856,(((E3+16)/116)-G3/200)^3,((((E3+16)/116)-G3/200)-16/116)/7.787)*1.08883))))^(1/2.4)-0.055))*255+0.5)),"00")</f>
        <v>#FFFF80</v>
      </c>
    </row>
    <row r="4" spans="1:9" ht="26" customHeight="1" x14ac:dyDescent="0.35">
      <c r="A4" s="7" t="s">
        <v>9</v>
      </c>
      <c r="B4" s="8">
        <v>81.680000000000007</v>
      </c>
      <c r="C4" s="8">
        <v>-12.23</v>
      </c>
      <c r="D4" s="8">
        <v>72.66</v>
      </c>
      <c r="E4" s="8">
        <v>105.32</v>
      </c>
      <c r="F4" s="8">
        <v>-13.27</v>
      </c>
      <c r="G4" s="8">
        <v>71.260000000000005</v>
      </c>
      <c r="H4" s="9" t="str">
        <f t="shared" si="0"/>
        <v>#DBCF33</v>
      </c>
      <c r="I4" s="10" t="str">
        <f t="shared" si="1"/>
        <v>#FFFF7C</v>
      </c>
    </row>
    <row r="5" spans="1:9" ht="26" customHeight="1" x14ac:dyDescent="0.35">
      <c r="A5" s="3" t="s">
        <v>10</v>
      </c>
      <c r="B5" s="4">
        <v>74.69</v>
      </c>
      <c r="C5" s="4">
        <v>2.92</v>
      </c>
      <c r="D5" s="4">
        <v>64.430000000000007</v>
      </c>
      <c r="E5" s="4">
        <v>104.52</v>
      </c>
      <c r="F5" s="4">
        <v>-7.03</v>
      </c>
      <c r="G5" s="4">
        <v>51.99</v>
      </c>
      <c r="H5" s="11" t="str">
        <f t="shared" si="0"/>
        <v>#DCB338</v>
      </c>
      <c r="I5" s="12" t="str">
        <f t="shared" si="1"/>
        <v>#FFFFA4</v>
      </c>
    </row>
    <row r="6" spans="1:9" ht="26" customHeight="1" x14ac:dyDescent="0.35">
      <c r="A6" s="7" t="s">
        <v>11</v>
      </c>
      <c r="B6" s="8">
        <v>77.75</v>
      </c>
      <c r="C6" s="8">
        <v>1.86</v>
      </c>
      <c r="D6" s="8">
        <v>70.260000000000005</v>
      </c>
      <c r="E6" s="8">
        <v>105.01</v>
      </c>
      <c r="F6" s="8">
        <v>-4.88</v>
      </c>
      <c r="G6" s="8">
        <v>69.05</v>
      </c>
      <c r="H6" s="13" t="str">
        <f t="shared" si="0"/>
        <v>#E5BC31</v>
      </c>
      <c r="I6" s="14" t="str">
        <f t="shared" si="1"/>
        <v>#FFFF81</v>
      </c>
    </row>
    <row r="7" spans="1:9" ht="26" customHeight="1" x14ac:dyDescent="0.35">
      <c r="A7" s="3" t="s">
        <v>12</v>
      </c>
      <c r="B7" s="4">
        <v>78.510000000000005</v>
      </c>
      <c r="C7" s="4">
        <v>1.73</v>
      </c>
      <c r="D7" s="4">
        <v>70.69</v>
      </c>
      <c r="E7" s="4">
        <v>105.08</v>
      </c>
      <c r="F7" s="4">
        <v>-4.55</v>
      </c>
      <c r="G7" s="4">
        <v>69.39</v>
      </c>
      <c r="H7" s="15" t="str">
        <f t="shared" si="0"/>
        <v>#E7BE32</v>
      </c>
      <c r="I7" s="6" t="str">
        <f t="shared" si="1"/>
        <v>#FFFF80</v>
      </c>
    </row>
    <row r="8" spans="1:9" ht="26" customHeight="1" x14ac:dyDescent="0.35">
      <c r="A8" s="7" t="s">
        <v>13</v>
      </c>
      <c r="B8" s="8">
        <v>85.2</v>
      </c>
      <c r="C8" s="8">
        <v>-0.67</v>
      </c>
      <c r="D8" s="8">
        <v>80.400000000000006</v>
      </c>
      <c r="E8" s="8">
        <v>104.74</v>
      </c>
      <c r="F8" s="8">
        <v>-1.86</v>
      </c>
      <c r="G8" s="8">
        <v>75.94</v>
      </c>
      <c r="H8" s="16" t="str">
        <f t="shared" si="0"/>
        <v>#FAD226</v>
      </c>
      <c r="I8" s="17" t="str">
        <f t="shared" si="1"/>
        <v>#FFFF70</v>
      </c>
    </row>
    <row r="9" spans="1:9" ht="26" customHeight="1" x14ac:dyDescent="0.35">
      <c r="A9" s="3" t="s">
        <v>14</v>
      </c>
      <c r="B9" s="4">
        <v>77.540000000000006</v>
      </c>
      <c r="C9" s="4">
        <v>11.13</v>
      </c>
      <c r="D9" s="4">
        <v>69.81</v>
      </c>
      <c r="E9" s="4">
        <v>104.05</v>
      </c>
      <c r="F9" s="4">
        <v>2.57</v>
      </c>
      <c r="G9" s="4">
        <v>53.59</v>
      </c>
      <c r="H9" s="18" t="str">
        <f t="shared" si="0"/>
        <v>#F3B533</v>
      </c>
      <c r="I9" s="19" t="str">
        <f t="shared" si="1"/>
        <v>#FFFFA0</v>
      </c>
    </row>
    <row r="10" spans="1:9" ht="26" customHeight="1" x14ac:dyDescent="0.35">
      <c r="A10" s="7" t="s">
        <v>15</v>
      </c>
      <c r="B10" s="8">
        <v>70.010000000000005</v>
      </c>
      <c r="C10" s="8">
        <v>23.26</v>
      </c>
      <c r="D10" s="8">
        <v>64.42</v>
      </c>
      <c r="E10" s="8">
        <v>95.4</v>
      </c>
      <c r="F10" s="8">
        <v>14.95</v>
      </c>
      <c r="G10" s="8">
        <v>64.87</v>
      </c>
      <c r="H10" s="20" t="str">
        <f t="shared" si="0"/>
        <v>#EC992E</v>
      </c>
      <c r="I10" s="21" t="str">
        <f t="shared" si="1"/>
        <v>#FFE472</v>
      </c>
    </row>
    <row r="11" spans="1:9" ht="26" customHeight="1" x14ac:dyDescent="0.35">
      <c r="A11" s="3" t="s">
        <v>16</v>
      </c>
      <c r="B11" s="4">
        <v>69.209999999999994</v>
      </c>
      <c r="C11" s="4">
        <v>23.56</v>
      </c>
      <c r="D11" s="4">
        <v>57.69</v>
      </c>
      <c r="E11" s="4">
        <v>99.74</v>
      </c>
      <c r="F11" s="4">
        <v>1293</v>
      </c>
      <c r="G11" s="4">
        <v>51.18</v>
      </c>
      <c r="H11" s="22" t="str">
        <f t="shared" si="0"/>
        <v>#E9973D</v>
      </c>
      <c r="I11" s="23" t="str">
        <f t="shared" si="1"/>
        <v>#FF00FF</v>
      </c>
    </row>
    <row r="12" spans="1:9" ht="26" customHeight="1" x14ac:dyDescent="0.35">
      <c r="A12" s="7" t="s">
        <v>17</v>
      </c>
      <c r="B12" s="8">
        <v>68.67</v>
      </c>
      <c r="C12" s="8">
        <v>22.75</v>
      </c>
      <c r="D12" s="8">
        <v>59.16</v>
      </c>
      <c r="E12" s="8">
        <v>100.19</v>
      </c>
      <c r="F12" s="8">
        <v>12.93</v>
      </c>
      <c r="G12" s="8">
        <v>51.18</v>
      </c>
      <c r="H12" s="24" t="str">
        <f t="shared" si="0"/>
        <v>#E69638</v>
      </c>
      <c r="I12" s="25" t="str">
        <f t="shared" si="1"/>
        <v>#FFF49B</v>
      </c>
    </row>
    <row r="13" spans="1:9" ht="26" customHeight="1" x14ac:dyDescent="0.35">
      <c r="A13" s="3" t="s">
        <v>18</v>
      </c>
      <c r="B13" s="4">
        <v>65.47</v>
      </c>
      <c r="C13" s="4">
        <v>51.34</v>
      </c>
      <c r="D13" s="4">
        <v>50.22</v>
      </c>
      <c r="E13" s="4">
        <v>83.16</v>
      </c>
      <c r="F13" s="4">
        <v>41.27</v>
      </c>
      <c r="G13" s="4">
        <v>40.07</v>
      </c>
      <c r="H13" s="26" t="str">
        <f t="shared" si="0"/>
        <v>#FF7447</v>
      </c>
      <c r="I13" s="27" t="str">
        <f t="shared" si="1"/>
        <v>#FFAE86</v>
      </c>
    </row>
    <row r="14" spans="1:9" ht="26" customHeight="1" x14ac:dyDescent="0.35">
      <c r="A14" s="7" t="s">
        <v>19</v>
      </c>
      <c r="B14" s="8">
        <v>51.07</v>
      </c>
      <c r="C14" s="8">
        <v>44.85</v>
      </c>
      <c r="D14" s="8">
        <v>30.27</v>
      </c>
      <c r="E14" s="8">
        <v>76.510000000000005</v>
      </c>
      <c r="F14" s="8">
        <v>53.51</v>
      </c>
      <c r="G14" s="8">
        <v>17.239999999999998</v>
      </c>
      <c r="H14" s="28" t="str">
        <f t="shared" si="0"/>
        <v>#C85549</v>
      </c>
      <c r="I14" s="29" t="str">
        <f t="shared" si="1"/>
        <v>#FF92A0</v>
      </c>
    </row>
    <row r="15" spans="1:9" ht="26" customHeight="1" x14ac:dyDescent="0.35">
      <c r="A15" s="3" t="s">
        <v>20</v>
      </c>
      <c r="B15" s="4">
        <v>51.41</v>
      </c>
      <c r="C15" s="4">
        <v>47.99</v>
      </c>
      <c r="D15" s="4">
        <v>31.74</v>
      </c>
      <c r="E15" s="4">
        <v>75.77</v>
      </c>
      <c r="F15" s="4">
        <v>54.32</v>
      </c>
      <c r="G15" s="4">
        <v>18.12</v>
      </c>
      <c r="H15" s="30" t="str">
        <f t="shared" si="0"/>
        <v>#CD5347</v>
      </c>
      <c r="I15" s="31" t="str">
        <f t="shared" si="1"/>
        <v>#FF8F9C</v>
      </c>
    </row>
    <row r="16" spans="1:9" ht="26" customHeight="1" x14ac:dyDescent="0.35">
      <c r="A16" s="7" t="s">
        <v>21</v>
      </c>
      <c r="B16" s="8">
        <v>51.7</v>
      </c>
      <c r="C16" s="8">
        <v>47.92</v>
      </c>
      <c r="D16" s="8">
        <v>31.5</v>
      </c>
      <c r="E16" s="8">
        <v>71.040000000000006</v>
      </c>
      <c r="F16" s="8">
        <v>54.23</v>
      </c>
      <c r="G16" s="8">
        <v>5.1100000000000003</v>
      </c>
      <c r="H16" s="32" t="str">
        <f t="shared" si="0"/>
        <v>#CE5348</v>
      </c>
      <c r="I16" s="33" t="str">
        <f t="shared" si="1"/>
        <v>#FF83A7</v>
      </c>
    </row>
    <row r="17" spans="1:9" ht="26" customHeight="1" x14ac:dyDescent="0.35">
      <c r="A17" s="3" t="s">
        <v>22</v>
      </c>
      <c r="B17" s="4">
        <v>50.97</v>
      </c>
      <c r="C17" s="4">
        <v>55.37</v>
      </c>
      <c r="D17" s="4">
        <v>33.22</v>
      </c>
      <c r="E17" s="4">
        <v>73.88</v>
      </c>
      <c r="F17" s="4">
        <v>48.93</v>
      </c>
      <c r="G17" s="4">
        <v>49.42</v>
      </c>
      <c r="H17" s="34" t="str">
        <f t="shared" si="0"/>
        <v>#D64844</v>
      </c>
      <c r="I17" s="35" t="str">
        <f t="shared" si="1"/>
        <v>#FF8D5D</v>
      </c>
    </row>
    <row r="18" spans="1:9" ht="26" customHeight="1" x14ac:dyDescent="0.35">
      <c r="A18" s="7" t="s">
        <v>23</v>
      </c>
      <c r="B18" s="8">
        <v>46.98</v>
      </c>
      <c r="C18" s="8">
        <v>49.43</v>
      </c>
      <c r="D18" s="8">
        <v>28.01</v>
      </c>
      <c r="E18" s="8">
        <v>71.790000000000006</v>
      </c>
      <c r="F18" s="8">
        <v>46.99</v>
      </c>
      <c r="G18" s="8">
        <v>4.8499999999999996</v>
      </c>
      <c r="H18" s="36" t="str">
        <f t="shared" si="0"/>
        <v>#C14543</v>
      </c>
      <c r="I18" s="37" t="str">
        <f t="shared" si="1"/>
        <v>#FF8CA9</v>
      </c>
    </row>
    <row r="19" spans="1:9" ht="26" customHeight="1" x14ac:dyDescent="0.35">
      <c r="A19" s="3" t="s">
        <v>24</v>
      </c>
      <c r="B19" s="4">
        <v>44.52</v>
      </c>
      <c r="C19" s="4">
        <v>39.44</v>
      </c>
      <c r="D19" s="4">
        <v>22.76</v>
      </c>
      <c r="E19" s="4">
        <v>69.540000000000006</v>
      </c>
      <c r="F19" s="4">
        <v>53.86</v>
      </c>
      <c r="G19" s="4">
        <v>1.71</v>
      </c>
      <c r="H19" s="38" t="str">
        <f t="shared" si="0"/>
        <v>#AC4B46</v>
      </c>
      <c r="I19" s="39" t="str">
        <f t="shared" si="1"/>
        <v>#FF7FA9</v>
      </c>
    </row>
    <row r="20" spans="1:9" ht="26" customHeight="1" x14ac:dyDescent="0.35">
      <c r="A20" s="7" t="s">
        <v>25</v>
      </c>
      <c r="B20" s="8">
        <v>42.51</v>
      </c>
      <c r="C20" s="8">
        <v>36.340000000000003</v>
      </c>
      <c r="D20" s="8">
        <v>20.13</v>
      </c>
      <c r="E20" s="8">
        <v>70.290000000000006</v>
      </c>
      <c r="F20" s="8">
        <v>53.9</v>
      </c>
      <c r="G20" s="8">
        <v>-0.7</v>
      </c>
      <c r="H20" s="40" t="str">
        <f t="shared" si="0"/>
        <v>#A24945</v>
      </c>
      <c r="I20" s="41" t="str">
        <f t="shared" si="1"/>
        <v>#FF82AF</v>
      </c>
    </row>
    <row r="21" spans="1:9" ht="26" customHeight="1" x14ac:dyDescent="0.35">
      <c r="A21" s="3" t="s">
        <v>26</v>
      </c>
      <c r="B21" s="4">
        <v>46.83</v>
      </c>
      <c r="C21" s="4">
        <v>40.1</v>
      </c>
      <c r="D21" s="4">
        <v>21.25</v>
      </c>
      <c r="E21" s="4">
        <v>76.39</v>
      </c>
      <c r="F21" s="4">
        <v>48.74</v>
      </c>
      <c r="G21" s="4">
        <v>-8.9499999999999993</v>
      </c>
      <c r="H21" s="42" t="str">
        <f t="shared" si="0"/>
        <v>#B3504E</v>
      </c>
      <c r="I21" s="43" t="str">
        <f t="shared" si="1"/>
        <v>#FF99CE</v>
      </c>
    </row>
    <row r="22" spans="1:9" ht="26" customHeight="1" x14ac:dyDescent="0.35">
      <c r="A22" s="7" t="s">
        <v>27</v>
      </c>
      <c r="B22" s="8">
        <v>42.28</v>
      </c>
      <c r="C22" s="8">
        <v>36.75</v>
      </c>
      <c r="D22" s="8">
        <v>19.84</v>
      </c>
      <c r="E22" s="8">
        <v>68.27</v>
      </c>
      <c r="F22" s="8">
        <v>51.97</v>
      </c>
      <c r="G22" s="8">
        <v>-6.19</v>
      </c>
      <c r="H22" s="44" t="str">
        <f t="shared" si="0"/>
        <v>#A14845</v>
      </c>
      <c r="I22" s="45" t="str">
        <f t="shared" si="1"/>
        <v>#F87FB3</v>
      </c>
    </row>
    <row r="23" spans="1:9" ht="26" customHeight="1" x14ac:dyDescent="0.35">
      <c r="A23" s="3" t="s">
        <v>28</v>
      </c>
      <c r="B23" s="4">
        <v>39.97</v>
      </c>
      <c r="C23" s="4">
        <v>31.98</v>
      </c>
      <c r="D23" s="4">
        <v>7.77</v>
      </c>
      <c r="E23" s="4">
        <v>74.84</v>
      </c>
      <c r="F23" s="4">
        <v>41.94</v>
      </c>
      <c r="G23" s="4">
        <v>-19.559999999999999</v>
      </c>
      <c r="H23" s="46" t="str">
        <f t="shared" si="0"/>
        <v>#914853</v>
      </c>
      <c r="I23" s="47" t="str">
        <f t="shared" si="1"/>
        <v>#F39CDD</v>
      </c>
    </row>
    <row r="24" spans="1:9" ht="26" customHeight="1" x14ac:dyDescent="0.35">
      <c r="A24" s="7" t="s">
        <v>29</v>
      </c>
      <c r="B24" s="8">
        <v>33.340000000000003</v>
      </c>
      <c r="C24" s="8">
        <v>0.67</v>
      </c>
      <c r="D24" s="8">
        <v>1.59</v>
      </c>
      <c r="E24" s="8">
        <v>55.23</v>
      </c>
      <c r="F24" s="8">
        <v>23.02</v>
      </c>
      <c r="G24" s="8">
        <v>-42.28</v>
      </c>
      <c r="H24" s="48" t="str">
        <f t="shared" si="0"/>
        <v>#514E4C</v>
      </c>
      <c r="I24" s="49" t="str">
        <f t="shared" si="1"/>
        <v>#827ACE</v>
      </c>
    </row>
    <row r="25" spans="1:9" ht="26" customHeight="1" x14ac:dyDescent="0.35">
      <c r="A25" s="3" t="s">
        <v>30</v>
      </c>
      <c r="B25" s="4">
        <v>33.409999999999997</v>
      </c>
      <c r="C25" s="4">
        <v>7.11</v>
      </c>
      <c r="D25" s="4">
        <v>-23.44</v>
      </c>
      <c r="E25" s="4">
        <v>72.03</v>
      </c>
      <c r="F25" s="4">
        <v>-14.81</v>
      </c>
      <c r="G25" s="4">
        <v>-44.02</v>
      </c>
      <c r="H25" s="50" t="str">
        <f t="shared" si="0"/>
        <v>#434D74</v>
      </c>
      <c r="I25" s="51" t="str">
        <f t="shared" si="1"/>
        <v>#1FBCFF</v>
      </c>
    </row>
    <row r="26" spans="1:9" ht="26" customHeight="1" x14ac:dyDescent="0.35">
      <c r="A26" s="7" t="s">
        <v>31</v>
      </c>
      <c r="B26" s="8">
        <v>33.700000000000003</v>
      </c>
      <c r="C26" s="8">
        <v>6.86</v>
      </c>
      <c r="D26" s="8">
        <v>-22.98</v>
      </c>
      <c r="E26" s="8">
        <v>71.89</v>
      </c>
      <c r="F26" s="8">
        <v>-15.16</v>
      </c>
      <c r="G26" s="8">
        <v>-43.44</v>
      </c>
      <c r="H26" s="52" t="str">
        <f t="shared" si="0"/>
        <v>#444D74</v>
      </c>
      <c r="I26" s="51" t="str">
        <f t="shared" si="1"/>
        <v>#1FBCFF</v>
      </c>
    </row>
    <row r="27" spans="1:9" ht="26" customHeight="1" x14ac:dyDescent="0.35">
      <c r="A27" s="3" t="s">
        <v>32</v>
      </c>
      <c r="B27" s="4">
        <v>35.78</v>
      </c>
      <c r="C27" s="4">
        <v>7.7</v>
      </c>
      <c r="D27" s="4">
        <v>-29.57</v>
      </c>
      <c r="E27" s="4">
        <v>73.27</v>
      </c>
      <c r="F27" s="4">
        <v>-22.88</v>
      </c>
      <c r="G27" s="4">
        <v>-44.16</v>
      </c>
      <c r="H27" s="53" t="str">
        <f t="shared" si="0"/>
        <v>#415383</v>
      </c>
      <c r="I27" s="54" t="str">
        <f t="shared" si="1"/>
        <v>#00C4FF</v>
      </c>
    </row>
    <row r="28" spans="1:9" ht="26" customHeight="1" x14ac:dyDescent="0.35">
      <c r="A28" s="7" t="s">
        <v>33</v>
      </c>
      <c r="B28" s="8">
        <v>34.86</v>
      </c>
      <c r="C28" s="8">
        <v>9.23</v>
      </c>
      <c r="D28" s="8">
        <v>-28.35</v>
      </c>
      <c r="E28" s="8">
        <v>73.11</v>
      </c>
      <c r="F28" s="8">
        <v>-22.76</v>
      </c>
      <c r="G28" s="8">
        <v>-43.27</v>
      </c>
      <c r="H28" s="55" t="str">
        <f t="shared" si="0"/>
        <v>#444F7F</v>
      </c>
      <c r="I28" s="56" t="str">
        <f t="shared" si="1"/>
        <v>#00C3FF</v>
      </c>
    </row>
    <row r="29" spans="1:9" ht="26" customHeight="1" x14ac:dyDescent="0.35">
      <c r="A29" s="3" t="s">
        <v>34</v>
      </c>
      <c r="B29" s="4">
        <v>41.81</v>
      </c>
      <c r="C29" s="4">
        <v>-34.340000000000003</v>
      </c>
      <c r="D29" s="4">
        <v>7.7</v>
      </c>
      <c r="E29" s="4">
        <v>83.58</v>
      </c>
      <c r="F29" s="4">
        <v>-41.33</v>
      </c>
      <c r="G29" s="4">
        <v>-0.2</v>
      </c>
      <c r="H29" s="57" t="str">
        <f t="shared" si="0"/>
        <v>#047055</v>
      </c>
      <c r="I29" s="58" t="str">
        <f t="shared" si="1"/>
        <v>#62E5CF</v>
      </c>
    </row>
    <row r="30" spans="1:9" ht="26" customHeight="1" x14ac:dyDescent="0.35">
      <c r="A30" s="7" t="s">
        <v>35</v>
      </c>
      <c r="B30" s="8">
        <v>58.19</v>
      </c>
      <c r="C30" s="8">
        <v>46.17</v>
      </c>
      <c r="D30" s="8">
        <v>41.81</v>
      </c>
      <c r="E30" s="8">
        <v>81.5</v>
      </c>
      <c r="F30" s="8">
        <v>42.11</v>
      </c>
      <c r="G30" s="8">
        <v>45.98</v>
      </c>
      <c r="H30" s="59" t="str">
        <f t="shared" si="0"/>
        <v>#E26645</v>
      </c>
      <c r="I30" s="60" t="str">
        <f t="shared" si="1"/>
        <v>#FFA976</v>
      </c>
    </row>
    <row r="31" spans="1:9" ht="26" customHeight="1" x14ac:dyDescent="0.35">
      <c r="A31" s="3" t="s">
        <v>36</v>
      </c>
      <c r="B31" s="4">
        <v>33.67</v>
      </c>
      <c r="C31" s="4">
        <v>0.71</v>
      </c>
      <c r="D31" s="4">
        <v>2.4700000000000002</v>
      </c>
      <c r="E31" s="4">
        <v>54.09</v>
      </c>
      <c r="F31" s="4">
        <v>20.79</v>
      </c>
      <c r="G31" s="4">
        <v>-39.03</v>
      </c>
      <c r="H31" s="61" t="str">
        <f t="shared" si="0"/>
        <v>#524F4B</v>
      </c>
      <c r="I31" s="62" t="str">
        <f t="shared" si="1"/>
        <v>#7F78C5</v>
      </c>
    </row>
  </sheetData>
  <mergeCells count="5">
    <mergeCell ref="I1:I2"/>
    <mergeCell ref="B1:D1"/>
    <mergeCell ref="H1:H2"/>
    <mergeCell ref="E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6"/>
  <sheetViews>
    <sheetView workbookViewId="0"/>
  </sheetViews>
  <sheetFormatPr defaultRowHeight="14.5" x14ac:dyDescent="0.35"/>
  <cols>
    <col min="1" max="1" width="110" customWidth="1"/>
  </cols>
  <sheetData>
    <row r="1" spans="1:1" ht="30" customHeight="1" x14ac:dyDescent="0.35">
      <c r="A1" s="63" t="s">
        <v>37</v>
      </c>
    </row>
    <row r="2" spans="1:1" ht="16" customHeight="1" x14ac:dyDescent="0.35">
      <c r="A2" s="64"/>
    </row>
    <row r="3" spans="1:1" ht="16" customHeight="1" x14ac:dyDescent="0.35">
      <c r="A3" s="64" t="s">
        <v>38</v>
      </c>
    </row>
    <row r="4" spans="1:1" ht="16" customHeight="1" x14ac:dyDescent="0.35">
      <c r="A4" s="64" t="s">
        <v>39</v>
      </c>
    </row>
    <row r="5" spans="1:1" ht="16" customHeight="1" x14ac:dyDescent="0.35">
      <c r="A5" s="64"/>
    </row>
    <row r="6" spans="1:1" ht="16" customHeight="1" x14ac:dyDescent="0.35">
      <c r="A6" s="65" t="s">
        <v>40</v>
      </c>
    </row>
    <row r="7" spans="1:1" ht="16" customHeight="1" x14ac:dyDescent="0.35">
      <c r="A7" s="64"/>
    </row>
    <row r="8" spans="1:1" ht="16" customHeight="1" x14ac:dyDescent="0.35">
      <c r="A8" s="65" t="s">
        <v>41</v>
      </c>
    </row>
    <row r="9" spans="1:1" ht="16" customHeight="1" x14ac:dyDescent="0.35">
      <c r="A9" s="64"/>
    </row>
    <row r="10" spans="1:1" ht="16" customHeight="1" x14ac:dyDescent="0.35">
      <c r="A10" s="65" t="s">
        <v>42</v>
      </c>
    </row>
    <row r="11" spans="1:1" ht="16" customHeight="1" x14ac:dyDescent="0.35">
      <c r="A11" s="64"/>
    </row>
    <row r="12" spans="1:1" ht="16" customHeight="1" x14ac:dyDescent="0.35">
      <c r="A12" s="65" t="s">
        <v>43</v>
      </c>
    </row>
    <row r="13" spans="1:1" ht="16" customHeight="1" x14ac:dyDescent="0.35">
      <c r="A13" s="64"/>
    </row>
    <row r="14" spans="1:1" ht="16" customHeight="1" x14ac:dyDescent="0.35">
      <c r="A14" s="66" t="s">
        <v>44</v>
      </c>
    </row>
    <row r="15" spans="1:1" ht="16" customHeight="1" x14ac:dyDescent="0.35">
      <c r="A15" s="64"/>
    </row>
    <row r="16" spans="1:1" ht="16" customHeight="1" x14ac:dyDescent="0.35">
      <c r="A16" s="67" t="s">
        <v>45</v>
      </c>
    </row>
    <row r="17" spans="1:1" ht="16" customHeight="1" x14ac:dyDescent="0.35">
      <c r="A17" s="68" t="s">
        <v>46</v>
      </c>
    </row>
    <row r="18" spans="1:1" ht="16" customHeight="1" x14ac:dyDescent="0.35">
      <c r="A18" s="68" t="s">
        <v>47</v>
      </c>
    </row>
    <row r="19" spans="1:1" ht="16" customHeight="1" x14ac:dyDescent="0.35">
      <c r="A19" s="68" t="s">
        <v>48</v>
      </c>
    </row>
    <row r="20" spans="1:1" ht="16" customHeight="1" x14ac:dyDescent="0.35">
      <c r="A20" s="68" t="s">
        <v>49</v>
      </c>
    </row>
    <row r="21" spans="1:1" ht="16" customHeight="1" x14ac:dyDescent="0.35">
      <c r="A21" s="68" t="s">
        <v>50</v>
      </c>
    </row>
    <row r="22" spans="1:1" ht="16" customHeight="1" x14ac:dyDescent="0.35">
      <c r="A22" s="68" t="s">
        <v>51</v>
      </c>
    </row>
    <row r="23" spans="1:1" ht="16" customHeight="1" x14ac:dyDescent="0.35">
      <c r="A23" s="68" t="s">
        <v>52</v>
      </c>
    </row>
    <row r="24" spans="1:1" ht="16" customHeight="1" x14ac:dyDescent="0.35">
      <c r="A24" s="68" t="s">
        <v>53</v>
      </c>
    </row>
    <row r="25" spans="1:1" ht="16" customHeight="1" x14ac:dyDescent="0.35">
      <c r="A25" s="68" t="s">
        <v>54</v>
      </c>
    </row>
    <row r="26" spans="1:1" ht="16" customHeight="1" x14ac:dyDescent="0.35">
      <c r="A26" s="68" t="s">
        <v>55</v>
      </c>
    </row>
    <row r="27" spans="1:1" ht="16" customHeight="1" x14ac:dyDescent="0.35">
      <c r="A27" s="68" t="s">
        <v>56</v>
      </c>
    </row>
    <row r="28" spans="1:1" ht="16" customHeight="1" x14ac:dyDescent="0.35">
      <c r="A28" s="68" t="s">
        <v>57</v>
      </c>
    </row>
    <row r="29" spans="1:1" ht="16" customHeight="1" x14ac:dyDescent="0.35">
      <c r="A29" s="68" t="s">
        <v>58</v>
      </c>
    </row>
    <row r="30" spans="1:1" ht="16" customHeight="1" x14ac:dyDescent="0.35">
      <c r="A30" s="68" t="s">
        <v>59</v>
      </c>
    </row>
    <row r="31" spans="1:1" ht="16" customHeight="1" x14ac:dyDescent="0.35">
      <c r="A31" s="68" t="s">
        <v>60</v>
      </c>
    </row>
    <row r="32" spans="1:1" ht="16" customHeight="1" x14ac:dyDescent="0.35">
      <c r="A32" s="68" t="s">
        <v>61</v>
      </c>
    </row>
    <row r="33" spans="1:1" ht="16" customHeight="1" x14ac:dyDescent="0.35">
      <c r="A33" s="68" t="s">
        <v>62</v>
      </c>
    </row>
    <row r="34" spans="1:1" ht="16" customHeight="1" x14ac:dyDescent="0.35">
      <c r="A34" s="68" t="s">
        <v>63</v>
      </c>
    </row>
    <row r="35" spans="1:1" ht="16" customHeight="1" x14ac:dyDescent="0.35">
      <c r="A35" s="68" t="s">
        <v>64</v>
      </c>
    </row>
    <row r="36" spans="1:1" ht="16" customHeight="1" x14ac:dyDescent="0.35">
      <c r="A36" s="68" t="s">
        <v>65</v>
      </c>
    </row>
    <row r="37" spans="1:1" ht="16" customHeight="1" x14ac:dyDescent="0.35">
      <c r="A37" s="67" t="s">
        <v>66</v>
      </c>
    </row>
    <row r="38" spans="1:1" ht="16" customHeight="1" x14ac:dyDescent="0.35">
      <c r="A38" s="64"/>
    </row>
    <row r="39" spans="1:1" ht="16" customHeight="1" x14ac:dyDescent="0.35">
      <c r="A39" s="67" t="s">
        <v>67</v>
      </c>
    </row>
    <row r="40" spans="1:1" ht="16" customHeight="1" x14ac:dyDescent="0.35">
      <c r="A40" s="68" t="s">
        <v>68</v>
      </c>
    </row>
    <row r="41" spans="1:1" ht="16" customHeight="1" x14ac:dyDescent="0.35">
      <c r="A41" s="68" t="s">
        <v>69</v>
      </c>
    </row>
    <row r="42" spans="1:1" ht="16" customHeight="1" x14ac:dyDescent="0.35">
      <c r="A42" s="68" t="s">
        <v>70</v>
      </c>
    </row>
    <row r="43" spans="1:1" ht="16" customHeight="1" x14ac:dyDescent="0.35">
      <c r="A43" s="68" t="s">
        <v>71</v>
      </c>
    </row>
    <row r="44" spans="1:1" ht="16" customHeight="1" x14ac:dyDescent="0.35">
      <c r="A44" s="68" t="s">
        <v>72</v>
      </c>
    </row>
    <row r="45" spans="1:1" ht="16" customHeight="1" x14ac:dyDescent="0.35">
      <c r="A45" s="68" t="s">
        <v>73</v>
      </c>
    </row>
    <row r="46" spans="1:1" ht="16" customHeight="1" x14ac:dyDescent="0.35">
      <c r="A46" s="68" t="s">
        <v>74</v>
      </c>
    </row>
    <row r="47" spans="1:1" ht="16" customHeight="1" x14ac:dyDescent="0.35">
      <c r="A47" s="68" t="s">
        <v>75</v>
      </c>
    </row>
    <row r="48" spans="1:1" ht="16" customHeight="1" x14ac:dyDescent="0.35">
      <c r="A48" s="68" t="s">
        <v>76</v>
      </c>
    </row>
    <row r="49" spans="1:1" ht="16" customHeight="1" x14ac:dyDescent="0.35">
      <c r="A49" s="68" t="s">
        <v>77</v>
      </c>
    </row>
    <row r="50" spans="1:1" ht="16" customHeight="1" x14ac:dyDescent="0.35">
      <c r="A50" s="68" t="s">
        <v>78</v>
      </c>
    </row>
    <row r="51" spans="1:1" ht="16" customHeight="1" x14ac:dyDescent="0.35">
      <c r="A51" s="68" t="s">
        <v>79</v>
      </c>
    </row>
    <row r="52" spans="1:1" ht="16" customHeight="1" x14ac:dyDescent="0.35">
      <c r="A52" s="68" t="s">
        <v>80</v>
      </c>
    </row>
    <row r="53" spans="1:1" ht="16" customHeight="1" x14ac:dyDescent="0.35">
      <c r="A53" s="68" t="s">
        <v>77</v>
      </c>
    </row>
    <row r="54" spans="1:1" ht="16" customHeight="1" x14ac:dyDescent="0.35">
      <c r="A54" s="68" t="s">
        <v>81</v>
      </c>
    </row>
    <row r="55" spans="1:1" ht="16" customHeight="1" x14ac:dyDescent="0.35">
      <c r="A55" s="68" t="s">
        <v>82</v>
      </c>
    </row>
    <row r="56" spans="1:1" ht="16" customHeight="1" x14ac:dyDescent="0.35">
      <c r="A56" s="67" t="s">
        <v>83</v>
      </c>
    </row>
    <row r="57" spans="1:1" ht="16" customHeight="1" x14ac:dyDescent="0.35">
      <c r="A57" s="64"/>
    </row>
    <row r="58" spans="1:1" ht="16" customHeight="1" x14ac:dyDescent="0.35">
      <c r="A58" s="66" t="s">
        <v>44</v>
      </c>
    </row>
    <row r="59" spans="1:1" ht="16" customHeight="1" x14ac:dyDescent="0.35">
      <c r="A59" s="64"/>
    </row>
    <row r="60" spans="1:1" ht="16" customHeight="1" x14ac:dyDescent="0.35">
      <c r="A60" s="65" t="s">
        <v>84</v>
      </c>
    </row>
    <row r="61" spans="1:1" ht="16" customHeight="1" x14ac:dyDescent="0.35">
      <c r="A61" s="64"/>
    </row>
    <row r="62" spans="1:1" ht="16" customHeight="1" x14ac:dyDescent="0.35">
      <c r="A62" s="67" t="s">
        <v>85</v>
      </c>
    </row>
    <row r="63" spans="1:1" ht="16" customHeight="1" x14ac:dyDescent="0.35">
      <c r="A63" s="68" t="s">
        <v>86</v>
      </c>
    </row>
    <row r="64" spans="1:1" ht="16" customHeight="1" x14ac:dyDescent="0.35">
      <c r="A64" s="68" t="s">
        <v>87</v>
      </c>
    </row>
    <row r="65" spans="1:1" ht="16" customHeight="1" x14ac:dyDescent="0.35">
      <c r="A65" s="68" t="s">
        <v>88</v>
      </c>
    </row>
    <row r="66" spans="1:1" ht="16" customHeight="1" x14ac:dyDescent="0.35">
      <c r="A66" s="67" t="s">
        <v>83</v>
      </c>
    </row>
    <row r="67" spans="1:1" ht="16" customHeight="1" x14ac:dyDescent="0.35">
      <c r="A67" s="64"/>
    </row>
    <row r="68" spans="1:1" ht="16" customHeight="1" x14ac:dyDescent="0.35">
      <c r="A68" s="66" t="s">
        <v>44</v>
      </c>
    </row>
    <row r="69" spans="1:1" ht="16" customHeight="1" x14ac:dyDescent="0.35">
      <c r="A69" s="64"/>
    </row>
    <row r="70" spans="1:1" ht="16" customHeight="1" x14ac:dyDescent="0.35">
      <c r="A70" s="65" t="s">
        <v>89</v>
      </c>
    </row>
    <row r="71" spans="1:1" ht="16" customHeight="1" x14ac:dyDescent="0.35">
      <c r="A71" s="64"/>
    </row>
    <row r="72" spans="1:1" ht="16" customHeight="1" x14ac:dyDescent="0.35">
      <c r="A72" s="64" t="s">
        <v>90</v>
      </c>
    </row>
    <row r="73" spans="1:1" ht="16" customHeight="1" x14ac:dyDescent="0.35">
      <c r="A73" s="64" t="s">
        <v>91</v>
      </c>
    </row>
    <row r="74" spans="1:1" ht="16" customHeight="1" x14ac:dyDescent="0.35">
      <c r="A74" s="64"/>
    </row>
    <row r="75" spans="1:1" ht="16" customHeight="1" x14ac:dyDescent="0.35">
      <c r="A75" s="64" t="s">
        <v>92</v>
      </c>
    </row>
    <row r="76" spans="1:1" ht="16" customHeight="1" x14ac:dyDescent="0.35">
      <c r="A76" s="68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 Values</vt:lpstr>
      <vt:lpstr>VBA_Instructions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rachit.suryamb@gmail.com</cp:lastModifiedBy>
  <dcterms:created xsi:type="dcterms:W3CDTF">2026-03-17T09:28:44Z</dcterms:created>
  <dcterms:modified xsi:type="dcterms:W3CDTF">2026-03-17T09:31:21Z</dcterms:modified>
</cp:coreProperties>
</file>